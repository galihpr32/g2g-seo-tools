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ssumptions" sheetId="1" state="visible" r:id="rId3"/>
    <sheet name="Monthly Plan (Standard)" sheetId="2" state="visible" r:id="rId4"/>
    <sheet name="Scenario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<sst xmlns="http://schemas.openxmlformats.org/spreadsheetml/2006/main" count="116" uniqueCount="91">
  <si>
    <t xml:space="preserve">G2G 360° Campaign — Budget Assumptions</t>
  </si>
  <si>
    <t xml:space="preserve">All values are monthly costs in USD. Blue = editable input.</t>
  </si>
  <si>
    <t xml:space="preserve">Assumption</t>
  </si>
  <si>
    <t xml:space="preserve">Lean ($)</t>
  </si>
  <si>
    <t xml:space="preserve">Standard ($)</t>
  </si>
  <si>
    <t xml:space="preserve">Aggressive ($)</t>
  </si>
  <si>
    <t xml:space="preserve">Notes</t>
  </si>
  <si>
    <t xml:space="preserve">REDDIT</t>
  </si>
  <si>
    <t xml:space="preserve">Community manager (monthly)</t>
  </si>
  <si>
    <t xml:space="preserve">Freelancer or FTE cost</t>
  </si>
  <si>
    <t xml:space="preserve">Reddit Ads — retargeting (mo 3+)</t>
  </si>
  <si>
    <t xml:space="preserve">Starts month 3</t>
  </si>
  <si>
    <t xml:space="preserve">Account tools / scheduling</t>
  </si>
  <si>
    <t xml:space="preserve">e.g. Later, Buffer</t>
  </si>
  <si>
    <t xml:space="preserve">YOUTUBE CREATORS</t>
  </si>
  <si>
    <t xml:space="preserve">Micro creator integration fee (avg)</t>
  </si>
  <si>
    <t xml:space="preserve">Per video, 10K–100K subs</t>
  </si>
  <si>
    <t xml:space="preserve">Micro creators activated per month</t>
  </si>
  <si>
    <t xml:space="preserve">Count, not $</t>
  </si>
  <si>
    <t xml:space="preserve">Mid-tier creator fee (avg)</t>
  </si>
  <si>
    <t xml:space="preserve">Per video, 100K–500K subs</t>
  </si>
  <si>
    <t xml:space="preserve">Mid-tier creators per month (mo 3+)</t>
  </si>
  <si>
    <t xml:space="preserve">Affiliate platform (one-time setup)</t>
  </si>
  <si>
    <t xml:space="preserve">Impact, PartnerStack, etc.</t>
  </si>
  <si>
    <t xml:space="preserve">SEO &amp; BACKLINKS</t>
  </si>
  <si>
    <t xml:space="preserve">SEO tools (Ahrefs / SEMrush)</t>
  </si>
  <si>
    <t xml:space="preserve">Monthly subscription</t>
  </si>
  <si>
    <t xml:space="preserve">Guest post / link insertion fees (avg)</t>
  </si>
  <si>
    <t xml:space="preserve">Per placement</t>
  </si>
  <si>
    <t xml:space="preserve">Placements per month</t>
  </si>
  <si>
    <t xml:space="preserve">SEO blog content (per article)</t>
  </si>
  <si>
    <t xml:space="preserve">Game landing pages + blogs</t>
  </si>
  <si>
    <t xml:space="preserve">Articles per month</t>
  </si>
  <si>
    <t xml:space="preserve">SOCIAL MEDIA</t>
  </si>
  <si>
    <t xml:space="preserve">TikTok content production</t>
  </si>
  <si>
    <t xml:space="preserve">Freelancer editor or agency</t>
  </si>
  <si>
    <t xml:space="preserve">Paid social boost (TikTok / X)</t>
  </si>
  <si>
    <t xml:space="preserve">Optional amplification</t>
  </si>
  <si>
    <t xml:space="preserve">Social media manager (monthly)</t>
  </si>
  <si>
    <t xml:space="preserve">If outsourced</t>
  </si>
  <si>
    <t xml:space="preserve">TOOLS &amp; TRACKING</t>
  </si>
  <si>
    <t xml:space="preserve">Analytics &amp; UTM tools</t>
  </si>
  <si>
    <t xml:space="preserve">GA4 premium, UTM builder</t>
  </si>
  <si>
    <t xml:space="preserve">Misc. / contingency (5%)</t>
  </si>
  <si>
    <t xml:space="preserve">Auto-calculated in monthly sheet</t>
  </si>
  <si>
    <t xml:space="preserve">G2G 360° Campaign — Monthly Budget Plan (Standard Scenario)</t>
  </si>
  <si>
    <t xml:space="preserve">Phase 1: Foundation (M1–2)  |  Phase 2: Scale (M3–4)  |  Phase 3: Optimize (M5–6)</t>
  </si>
  <si>
    <t xml:space="preserve">Line Item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</si>
  <si>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</si>
  <si>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</si>
  <si>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</si>
  <si>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</si>
  <si>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</si>
  <si>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</si>
  <si>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6-Mo TOTAL</t>
  </si>
  <si>
    <t xml:space="preserve">Community manager</t>
  </si>
  <si>
    <t xml:space="preserve">Reddit Ads (retargeting)</t>
  </si>
  <si>
    <t xml:space="preserve">Micro creator integrations</t>
  </si>
  <si>
    <t xml:space="preserve">Mid-tier creator videos</t>
  </si>
  <si>
    <t xml:space="preserve">Affiliate platform (one-time)</t>
  </si>
  <si>
    <t xml:space="preserve">Guest posts &amp; link insertions</t>
  </si>
  <si>
    <t xml:space="preserve">SEO blog content</t>
  </si>
  <si>
    <t xml:space="preserve">Paid social boost</t>
  </si>
  <si>
    <t xml:space="preserve">MONTHLY SUBTOTALS BY CHANNEL</t>
  </si>
  <si>
    <t xml:space="preserve">  REDDIT</t>
  </si>
  <si>
    <t xml:space="preserve">  YOUTUBE CREATORS</t>
  </si>
  <si>
    <t xml:space="preserve">  SEO &amp; BACKLINKS</t>
  </si>
  <si>
    <t xml:space="preserve">  SOCIAL MEDIA</t>
  </si>
  <si>
    <t xml:space="preserve">  TOOLS &amp; TRACKING</t>
  </si>
  <si>
    <t xml:space="preserve">TOTAL MONTHLY SPEND</t>
  </si>
  <si>
    <t xml:space="preserve">Contingency / buffer (5%)</t>
  </si>
  <si>
    <t xml:space="preserve">TOTAL INCL. CONTINGENCY</t>
  </si>
  <si>
    <t xml:space="preserve">G2G 360° Campaign — Scenario Budget Comparison (6 Months)</t>
  </si>
  <si>
    <t xml:space="preserve">Lean = low-budget/lean team  |  Standard = recommended  |  Aggressive = full scale</t>
  </si>
  <si>
    <t xml:space="preserve">Channel / Cost Item</t>
  </si>
  <si>
    <t xml:space="preserve">Lean (avg/mo)</t>
  </si>
  <si>
    <t xml:space="preserve">Lean 6-mo</t>
  </si>
  <si>
    <t xml:space="preserve">Standard (avg/mo)</t>
  </si>
  <si>
    <t xml:space="preserve">Standard 6-mo</t>
  </si>
  <si>
    <t xml:space="preserve">Aggressive (avg/mo)</t>
  </si>
  <si>
    <t xml:space="preserve">Aggressive 6-mo</t>
  </si>
  <si>
    <t xml:space="preserve">Tools</t>
  </si>
  <si>
    <t xml:space="preserve">Creator fees (micro + mid)</t>
  </si>
  <si>
    <t xml:space="preserve">Affiliate platform (amortized)</t>
  </si>
  <si>
    <t xml:space="preserve">SEO tools</t>
  </si>
  <si>
    <t xml:space="preserve">TOTAL (avg/mo + 6-month)</t>
  </si>
  <si>
    <t xml:space="preserve">  + 5% contingency</t>
  </si>
  <si>
    <t xml:space="preserve">SCENARIO NOTES</t>
  </si>
  <si>
    <t xml:space="preserve">Lean: Best for: team of 1–2 people, mostly organic, minimal paid. YouTube = micro only. Reddit = 1 community manager part-time.</t>
  </si>
  <si>
    <t xml:space="preserve">Standard: Best for: dedicated marketing team. Mix of micro + mid-tier YouTube. Active Reddit program. SEO outreach at scale.</t>
  </si>
  <si>
    <t xml:space="preserve">Aggressive: Best for: growth mode with budget. Full creator program, agency-level SEO, paid social amplification.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</si>
</sst>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37415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374151"/>
        <bgColor rgb="FF1F2937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DE9FE"/>
      </patternFill>
    </fill>
    <fill>
      <patternFill patternType="solid">
        <fgColor rgb="FFD1FAE5"/>
        <bgColor rgb="FFDBEAFE"/>
      </patternFill>
    </fill>
    <fill>
      <patternFill patternType="solid">
        <fgColor rgb="FFDBEAFE"/>
        <bgColor rgb="FFEDE9FE"/>
      </patternFill>
    </fill>
    <fill>
      <patternFill patternType="solid">
        <fgColor rgb="FFEDE9FE"/>
        <bgColor rgb="FFDBEAFE"/>
      </patternFill>
    </fill>
    <fill>
      <patternFill patternType="solid">
        <fgColor rgb="FF111827"/>
        <bgColor rgb="FF1F29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D1FAE5"/>
      <rgbColor rgb="FFF9FAFB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8" hidden="false" customHeight="true" outlineLevel="0" collapsed="false">
      <c r="A5" s="5" t="s">
        <v>7</v>
      </c>
      <c r="B5" s="5"/>
      <c r="C5" s="5"/>
      <c r="D5" s="5"/>
      <c r="E5" s="5"/>
    </row>
    <row r="6" customFormat="false" ht="16.5" hidden="false" customHeight="true" outlineLevel="0" collapsed="false">
      <c r="A6" s="6" t="s">
        <v>8</v>
      </c>
      <c r="B6" s="7" t="n">
        <v>800</v>
      </c>
      <c r="C6" s="7" t="n">
        <v>2500</v>
      </c>
      <c r="D6" s="7" t="n">
        <v>5000</v>
      </c>
      <c r="E6" s="8" t="s">
        <v>9</v>
      </c>
    </row>
    <row r="7" customFormat="false" ht="16.5" hidden="false" customHeight="true" outlineLevel="0" collapsed="false">
      <c r="A7" s="9" t="s">
        <v>10</v>
      </c>
      <c r="B7" s="10" t="n">
        <v>0</v>
      </c>
      <c r="C7" s="10" t="n">
        <v>750</v>
      </c>
      <c r="D7" s="10" t="n">
        <v>2500</v>
      </c>
      <c r="E7" s="11" t="s">
        <v>11</v>
      </c>
    </row>
    <row r="8" customFormat="false" ht="16.5" hidden="false" customHeight="true" outlineLevel="0" collapsed="false">
      <c r="A8" s="6" t="s">
        <v>12</v>
      </c>
      <c r="B8" s="7" t="n">
        <v>50</v>
      </c>
      <c r="C8" s="7" t="n">
        <v>100</v>
      </c>
      <c r="D8" s="7" t="n">
        <v>200</v>
      </c>
      <c r="E8" s="8" t="s">
        <v>13</v>
      </c>
    </row>
    <row r="9" customFormat="false" ht="18" hidden="false" customHeight="true" outlineLevel="0" collapsed="false">
      <c r="A9" s="5" t="s">
        <v>14</v>
      </c>
      <c r="B9" s="5"/>
      <c r="C9" s="5"/>
      <c r="D9" s="5"/>
      <c r="E9" s="5"/>
    </row>
    <row r="10" customFormat="false" ht="16.5" hidden="false" customHeight="true" outlineLevel="0" collapsed="false">
      <c r="A10" s="6" t="s">
        <v>15</v>
      </c>
      <c r="B10" s="7" t="n">
        <v>250</v>
      </c>
      <c r="C10" s="7" t="n">
        <v>500</v>
      </c>
      <c r="D10" s="7" t="n">
        <v>1000</v>
      </c>
      <c r="E10" s="8" t="s">
        <v>16</v>
      </c>
    </row>
    <row r="11" customFormat="false" ht="16.5" hidden="false" customHeight="true" outlineLevel="0" collapsed="false">
      <c r="A11" s="9" t="s">
        <v>17</v>
      </c>
      <c r="B11" s="10" t="n">
        <v>3</v>
      </c>
      <c r="C11" s="10" t="n">
        <v>8</v>
      </c>
      <c r="D11" s="10" t="n">
        <v>20</v>
      </c>
      <c r="E11" s="11" t="s">
        <v>18</v>
      </c>
    </row>
    <row r="12" customFormat="false" ht="16.5" hidden="false" customHeight="true" outlineLevel="0" collapsed="false">
      <c r="A12" s="6" t="s">
        <v>19</v>
      </c>
      <c r="B12" s="7" t="n">
        <v>0</v>
      </c>
      <c r="C12" s="7" t="n">
        <v>3500</v>
      </c>
      <c r="D12" s="7" t="n">
        <v>8000</v>
      </c>
      <c r="E12" s="8" t="s">
        <v>20</v>
      </c>
    </row>
    <row r="13" customFormat="false" ht="16.5" hidden="false" customHeight="true" outlineLevel="0" collapsed="false">
      <c r="A13" s="9" t="s">
        <v>21</v>
      </c>
      <c r="B13" s="10" t="n">
        <v>0</v>
      </c>
      <c r="C13" s="10" t="n">
        <v>2</v>
      </c>
      <c r="D13" s="10" t="n">
        <v>4</v>
      </c>
      <c r="E13" s="11" t="s">
        <v>18</v>
      </c>
    </row>
    <row r="14" customFormat="false" ht="16.5" hidden="false" customHeight="true" outlineLevel="0" collapsed="false">
      <c r="A14" s="6" t="s">
        <v>22</v>
      </c>
      <c r="B14" s="7" t="n">
        <v>500</v>
      </c>
      <c r="C14" s="7" t="n">
        <v>500</v>
      </c>
      <c r="D14" s="7" t="n">
        <v>1000</v>
      </c>
      <c r="E14" s="8" t="s">
        <v>23</v>
      </c>
    </row>
    <row r="15" customFormat="false" ht="18" hidden="false" customHeight="true" outlineLevel="0" collapsed="false">
      <c r="A15" s="5" t="s">
        <v>24</v>
      </c>
      <c r="B15" s="5"/>
      <c r="C15" s="5"/>
      <c r="D15" s="5"/>
      <c r="E15" s="5"/>
    </row>
    <row r="16" customFormat="false" ht="16.5" hidden="false" customHeight="true" outlineLevel="0" collapsed="false">
      <c r="A16" s="6" t="s">
        <v>25</v>
      </c>
      <c r="B16" s="7" t="n">
        <v>200</v>
      </c>
      <c r="C16" s="7" t="n">
        <v>300</v>
      </c>
      <c r="D16" s="7" t="n">
        <v>500</v>
      </c>
      <c r="E16" s="8" t="s">
        <v>26</v>
      </c>
    </row>
    <row r="17" customFormat="false" ht="16.5" hidden="false" customHeight="true" outlineLevel="0" collapsed="false">
      <c r="A17" s="9" t="s">
        <v>27</v>
      </c>
      <c r="B17" s="10" t="n">
        <v>200</v>
      </c>
      <c r="C17" s="10" t="n">
        <v>400</v>
      </c>
      <c r="D17" s="10" t="n">
        <v>600</v>
      </c>
      <c r="E17" s="11" t="s">
        <v>28</v>
      </c>
    </row>
    <row r="18" customFormat="false" ht="16.5" hidden="false" customHeight="true" outlineLevel="0" collapsed="false">
      <c r="A18" s="6" t="s">
        <v>29</v>
      </c>
      <c r="B18" s="7" t="n">
        <v>2</v>
      </c>
      <c r="C18" s="7" t="n">
        <v>5</v>
      </c>
      <c r="D18" s="7" t="n">
        <v>12</v>
      </c>
      <c r="E18" s="8" t="s">
        <v>18</v>
      </c>
    </row>
    <row r="19" customFormat="false" ht="16.5" hidden="false" customHeight="true" outlineLevel="0" collapsed="false">
      <c r="A19" s="9" t="s">
        <v>30</v>
      </c>
      <c r="B19" s="10" t="n">
        <v>150</v>
      </c>
      <c r="C19" s="10" t="n">
        <v>300</v>
      </c>
      <c r="D19" s="10" t="n">
        <v>500</v>
      </c>
      <c r="E19" s="11" t="s">
        <v>31</v>
      </c>
    </row>
    <row r="20" customFormat="false" ht="16.5" hidden="false" customHeight="true" outlineLevel="0" collapsed="false">
      <c r="A20" s="6" t="s">
        <v>32</v>
      </c>
      <c r="B20" s="7" t="n">
        <v>2</v>
      </c>
      <c r="C20" s="7" t="n">
        <v>4</v>
      </c>
      <c r="D20" s="7" t="n">
        <v>8</v>
      </c>
      <c r="E20" s="8" t="s">
        <v>18</v>
      </c>
    </row>
    <row r="21" customFormat="false" ht="18" hidden="false" customHeight="true" outlineLevel="0" collapsed="false">
      <c r="A21" s="5" t="s">
        <v>33</v>
      </c>
      <c r="B21" s="5"/>
      <c r="C21" s="5"/>
      <c r="D21" s="5"/>
      <c r="E21" s="5"/>
    </row>
    <row r="22" customFormat="false" ht="16.5" hidden="false" customHeight="true" outlineLevel="0" collapsed="false">
      <c r="A22" s="6" t="s">
        <v>34</v>
      </c>
      <c r="B22" s="7" t="n">
        <v>500</v>
      </c>
      <c r="C22" s="7" t="n">
        <v>1500</v>
      </c>
      <c r="D22" s="7" t="n">
        <v>4000</v>
      </c>
      <c r="E22" s="8" t="s">
        <v>35</v>
      </c>
    </row>
    <row r="23" customFormat="false" ht="16.5" hidden="false" customHeight="true" outlineLevel="0" collapsed="false">
      <c r="A23" s="9" t="s">
        <v>36</v>
      </c>
      <c r="B23" s="10" t="n">
        <v>0</v>
      </c>
      <c r="C23" s="10" t="n">
        <v>500</v>
      </c>
      <c r="D23" s="10" t="n">
        <v>2000</v>
      </c>
      <c r="E23" s="11" t="s">
        <v>37</v>
      </c>
    </row>
    <row r="24" customFormat="false" ht="16.5" hidden="false" customHeight="true" outlineLevel="0" collapsed="false">
      <c r="A24" s="6" t="s">
        <v>38</v>
      </c>
      <c r="B24" s="7" t="n">
        <v>0</v>
      </c>
      <c r="C24" s="7" t="n">
        <v>0</v>
      </c>
      <c r="D24" s="7" t="n">
        <v>2000</v>
      </c>
      <c r="E24" s="8" t="s">
        <v>39</v>
      </c>
    </row>
    <row r="25" customFormat="false" ht="18" hidden="false" customHeight="true" outlineLevel="0" collapsed="false">
      <c r="A25" s="5" t="s">
        <v>40</v>
      </c>
      <c r="B25" s="5"/>
      <c r="C25" s="5"/>
      <c r="D25" s="5"/>
      <c r="E25" s="5"/>
    </row>
    <row r="26" customFormat="false" ht="16.5" hidden="false" customHeight="true" outlineLevel="0" collapsed="false">
      <c r="A26" s="6" t="s">
        <v>41</v>
      </c>
      <c r="B26" s="7" t="n">
        <v>100</v>
      </c>
      <c r="C26" s="7" t="n">
        <v>200</v>
      </c>
      <c r="D26" s="7" t="n">
        <v>300</v>
      </c>
      <c r="E26" s="8" t="s">
        <v>42</v>
      </c>
    </row>
    <row r="27" customFormat="false" ht="16.5" hidden="false" customHeight="true" outlineLevel="0" collapsed="false">
      <c r="A27" s="9" t="s">
        <v>43</v>
      </c>
      <c r="B27" s="10" t="n">
        <v>0</v>
      </c>
      <c r="C27" s="10" t="n">
        <v>0</v>
      </c>
      <c r="D27" s="10" t="n">
        <v>0</v>
      </c>
      <c r="E27" s="11" t="s">
        <v>44</v>
      </c>
    </row>
  </sheetData>
  <mergeCells count="7">
    <mergeCell ref="A1:E1"/>
    <mergeCell ref="A2:E2"/>
    <mergeCell ref="A5:E5"/>
    <mergeCell ref="A9:E9"/>
    <mergeCell ref="A15:E15"/>
    <mergeCell ref="A21:E21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3"/>
  </cols>
  <sheetData>
    <row r="1" customFormat="false" ht="27.7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46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</row>
    <row r="5" customFormat="false" ht="16.5" hidden="false" customHeight="true" outlineLevel="0" collapsed="false">
      <c r="A5" s="5" t="s">
        <v>7</v>
      </c>
      <c r="B5" s="5"/>
      <c r="C5" s="5"/>
      <c r="D5" s="5"/>
      <c r="E5" s="5"/>
      <c r="F5" s="5"/>
      <c r="G5" s="5"/>
      <c r="H5" s="5"/>
    </row>
    <row r="6" customFormat="false" ht="16.5" hidden="false" customHeight="true" outlineLevel="0" collapsed="false">
      <c r="A6" s="12" t="s">
        <v>55</v>
      </c>
      <c r="B6" s="13" t="n">
        <v>2000</v>
      </c>
      <c r="C6" s="13" t="n">
        <v>2000</v>
      </c>
      <c r="D6" s="13" t="n">
        <v>2500</v>
      </c>
      <c r="E6" s="13" t="n">
        <v>3000</v>
      </c>
      <c r="F6" s="13" t="n">
        <v>3000</v>
      </c>
      <c r="G6" s="13" t="n">
        <v>3000</v>
      </c>
      <c r="H6" s="14" t="n">
        <f aca="false">SUM(B6:G6)</f>
        <v>15500</v>
      </c>
    </row>
    <row r="7" customFormat="false" ht="16.5" hidden="false" customHeight="true" outlineLevel="0" collapsed="false">
      <c r="A7" s="12" t="s">
        <v>56</v>
      </c>
      <c r="B7" s="13" t="n">
        <v>0</v>
      </c>
      <c r="C7" s="13" t="n">
        <v>0</v>
      </c>
      <c r="D7" s="13" t="n">
        <v>500</v>
      </c>
      <c r="E7" s="13" t="n">
        <v>750</v>
      </c>
      <c r="F7" s="13" t="n">
        <v>1000</v>
      </c>
      <c r="G7" s="13" t="n">
        <v>1000</v>
      </c>
      <c r="H7" s="14" t="n">
        <f aca="false">SUM(B7:G7)</f>
        <v>3250</v>
      </c>
    </row>
    <row r="8" customFormat="false" ht="16.5" hidden="false" customHeight="true" outlineLevel="0" collapsed="false">
      <c r="A8" s="12" t="s">
        <v>12</v>
      </c>
      <c r="B8" s="13" t="n">
        <v>100</v>
      </c>
      <c r="C8" s="13" t="n">
        <v>100</v>
      </c>
      <c r="D8" s="13" t="n">
        <v>100</v>
      </c>
      <c r="E8" s="13" t="n">
        <v>100</v>
      </c>
      <c r="F8" s="13" t="n">
        <v>100</v>
      </c>
      <c r="G8" s="13" t="n">
        <v>100</v>
      </c>
      <c r="H8" s="14" t="n">
        <f aca="false">SUM(B8:G8)</f>
        <v>600</v>
      </c>
    </row>
    <row r="9" customFormat="false" ht="16.5" hidden="false" customHeight="true" outlineLevel="0" collapsed="false">
      <c r="A9" s="5" t="s">
        <v>14</v>
      </c>
      <c r="B9" s="5"/>
      <c r="C9" s="5"/>
      <c r="D9" s="5"/>
      <c r="E9" s="5"/>
      <c r="F9" s="5"/>
      <c r="G9" s="5"/>
      <c r="H9" s="5"/>
    </row>
    <row r="10" customFormat="false" ht="16.5" hidden="false" customHeight="true" outlineLevel="0" collapsed="false">
      <c r="A10" s="15" t="s">
        <v>57</v>
      </c>
      <c r="B10" s="16" t="n">
        <v>1500</v>
      </c>
      <c r="C10" s="16" t="n">
        <v>2500</v>
      </c>
      <c r="D10" s="16" t="n">
        <v>4000</v>
      </c>
      <c r="E10" s="16" t="n">
        <v>4000</v>
      </c>
      <c r="F10" s="16" t="n">
        <v>5000</v>
      </c>
      <c r="G10" s="16" t="n">
        <v>5000</v>
      </c>
      <c r="H10" s="17" t="n">
        <f aca="false">SUM(B10:G10)</f>
        <v>22000</v>
      </c>
    </row>
    <row r="11" customFormat="false" ht="16.5" hidden="false" customHeight="true" outlineLevel="0" collapsed="false">
      <c r="A11" s="15" t="s">
        <v>58</v>
      </c>
      <c r="B11" s="16" t="n">
        <v>0</v>
      </c>
      <c r="C11" s="16" t="n">
        <v>0</v>
      </c>
      <c r="D11" s="16" t="n">
        <v>3500</v>
      </c>
      <c r="E11" s="16" t="n">
        <v>7000</v>
      </c>
      <c r="F11" s="16" t="n">
        <v>7000</v>
      </c>
      <c r="G11" s="16" t="n">
        <v>7000</v>
      </c>
      <c r="H11" s="17" t="n">
        <f aca="false">SUM(B11:G11)</f>
        <v>24500</v>
      </c>
    </row>
    <row r="12" customFormat="false" ht="16.5" hidden="false" customHeight="true" outlineLevel="0" collapsed="false">
      <c r="A12" s="15" t="s">
        <v>59</v>
      </c>
      <c r="B12" s="16" t="n">
        <v>500</v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f aca="false">SUM(B12:G12)</f>
        <v>500</v>
      </c>
    </row>
    <row r="13" customFormat="false" ht="16.5" hidden="false" customHeight="true" outlineLevel="0" collapsed="false">
      <c r="A13" s="5" t="s">
        <v>24</v>
      </c>
      <c r="B13" s="5"/>
      <c r="C13" s="5"/>
      <c r="D13" s="5"/>
      <c r="E13" s="5"/>
      <c r="F13" s="5"/>
      <c r="G13" s="5"/>
      <c r="H13" s="5"/>
    </row>
    <row r="14" customFormat="false" ht="16.5" hidden="false" customHeight="true" outlineLevel="0" collapsed="false">
      <c r="A14" s="18" t="s">
        <v>25</v>
      </c>
      <c r="B14" s="19" t="n">
        <v>300</v>
      </c>
      <c r="C14" s="19" t="n">
        <v>300</v>
      </c>
      <c r="D14" s="19" t="n">
        <v>300</v>
      </c>
      <c r="E14" s="19" t="n">
        <v>300</v>
      </c>
      <c r="F14" s="19" t="n">
        <v>300</v>
      </c>
      <c r="G14" s="19" t="n">
        <v>300</v>
      </c>
      <c r="H14" s="20" t="n">
        <f aca="false">SUM(B14:G14)</f>
        <v>1800</v>
      </c>
    </row>
    <row r="15" customFormat="false" ht="16.5" hidden="false" customHeight="true" outlineLevel="0" collapsed="false">
      <c r="A15" s="18" t="s">
        <v>60</v>
      </c>
      <c r="B15" s="19" t="n">
        <v>500</v>
      </c>
      <c r="C15" s="19" t="n">
        <v>800</v>
      </c>
      <c r="D15" s="19" t="n">
        <v>2000</v>
      </c>
      <c r="E15" s="19" t="n">
        <v>2000</v>
      </c>
      <c r="F15" s="19" t="n">
        <v>2500</v>
      </c>
      <c r="G15" s="19" t="n">
        <v>2500</v>
      </c>
      <c r="H15" s="20" t="n">
        <f aca="false">SUM(B15:G15)</f>
        <v>10300</v>
      </c>
    </row>
    <row r="16" customFormat="false" ht="16.5" hidden="false" customHeight="true" outlineLevel="0" collapsed="false">
      <c r="A16" s="18" t="s">
        <v>61</v>
      </c>
      <c r="B16" s="19" t="n">
        <v>900</v>
      </c>
      <c r="C16" s="19" t="n">
        <v>600</v>
      </c>
      <c r="D16" s="19" t="n">
        <v>600</v>
      </c>
      <c r="E16" s="19" t="n">
        <v>600</v>
      </c>
      <c r="F16" s="19" t="n">
        <v>600</v>
      </c>
      <c r="G16" s="19" t="n">
        <v>600</v>
      </c>
      <c r="H16" s="20" t="n">
        <f aca="false">SUM(B16:G16)</f>
        <v>3900</v>
      </c>
    </row>
    <row r="17" customFormat="false" ht="16.5" hidden="false" customHeight="true" outlineLevel="0" collapsed="false">
      <c r="A17" s="5" t="s">
        <v>33</v>
      </c>
      <c r="B17" s="5"/>
      <c r="C17" s="5"/>
      <c r="D17" s="5"/>
      <c r="E17" s="5"/>
      <c r="F17" s="5"/>
      <c r="G17" s="5"/>
      <c r="H17" s="5"/>
    </row>
    <row r="18" customFormat="false" ht="16.5" hidden="false" customHeight="true" outlineLevel="0" collapsed="false">
      <c r="A18" s="21" t="s">
        <v>34</v>
      </c>
      <c r="B18" s="22" t="n">
        <v>1000</v>
      </c>
      <c r="C18" s="22" t="n">
        <v>1500</v>
      </c>
      <c r="D18" s="22" t="n">
        <v>1500</v>
      </c>
      <c r="E18" s="22" t="n">
        <v>1500</v>
      </c>
      <c r="F18" s="22" t="n">
        <v>1500</v>
      </c>
      <c r="G18" s="22" t="n">
        <v>1500</v>
      </c>
      <c r="H18" s="23" t="n">
        <f aca="false">SUM(B18:G18)</f>
        <v>8500</v>
      </c>
    </row>
    <row r="19" customFormat="false" ht="16.5" hidden="false" customHeight="true" outlineLevel="0" collapsed="false">
      <c r="A19" s="21" t="s">
        <v>62</v>
      </c>
      <c r="B19" s="22" t="n">
        <v>0</v>
      </c>
      <c r="C19" s="22" t="n">
        <v>0</v>
      </c>
      <c r="D19" s="22" t="n">
        <v>500</v>
      </c>
      <c r="E19" s="22" t="n">
        <v>500</v>
      </c>
      <c r="F19" s="22" t="n">
        <v>500</v>
      </c>
      <c r="G19" s="22" t="n">
        <v>500</v>
      </c>
      <c r="H19" s="23" t="n">
        <f aca="false">SUM(B19:G19)</f>
        <v>2000</v>
      </c>
    </row>
    <row r="20" customFormat="false" ht="16.5" hidden="false" customHeight="true" outlineLevel="0" collapsed="false">
      <c r="A20" s="5" t="s">
        <v>40</v>
      </c>
      <c r="B20" s="5"/>
      <c r="C20" s="5"/>
      <c r="D20" s="5"/>
      <c r="E20" s="5"/>
      <c r="F20" s="5"/>
      <c r="G20" s="5"/>
      <c r="H20" s="5"/>
    </row>
    <row r="21" customFormat="false" ht="16.5" hidden="false" customHeight="true" outlineLevel="0" collapsed="false">
      <c r="A21" s="24" t="s">
        <v>41</v>
      </c>
      <c r="B21" s="25" t="n">
        <v>200</v>
      </c>
      <c r="C21" s="25" t="n">
        <v>200</v>
      </c>
      <c r="D21" s="25" t="n">
        <v>200</v>
      </c>
      <c r="E21" s="25" t="n">
        <v>200</v>
      </c>
      <c r="F21" s="25" t="n">
        <v>200</v>
      </c>
      <c r="G21" s="25" t="n">
        <v>200</v>
      </c>
      <c r="H21" s="26" t="n">
        <f aca="false">SUM(B21:G21)</f>
        <v>1200</v>
      </c>
    </row>
    <row r="22" customFormat="false" ht="6" hidden="false" customHeight="true" outlineLevel="0" collapsed="false">
      <c r="A22" s="27"/>
      <c r="B22" s="27"/>
      <c r="C22" s="27"/>
      <c r="D22" s="27"/>
      <c r="E22" s="27"/>
      <c r="F22" s="27"/>
      <c r="G22" s="27"/>
      <c r="H22" s="27"/>
    </row>
    <row r="23" customFormat="false" ht="19.5" hidden="false" customHeight="true" outlineLevel="0" collapsed="false">
      <c r="A23" s="28" t="s">
        <v>63</v>
      </c>
      <c r="B23" s="29"/>
      <c r="C23" s="29"/>
      <c r="D23" s="29"/>
      <c r="E23" s="29"/>
      <c r="F23" s="29"/>
      <c r="G23" s="29"/>
      <c r="H23" s="29"/>
    </row>
    <row r="24" customFormat="false" ht="18" hidden="false" customHeight="true" outlineLevel="0" collapsed="false">
      <c r="A24" s="30" t="s">
        <v>64</v>
      </c>
      <c r="B24" s="31" t="n">
        <f aca="false">SUM(B6:B8)</f>
        <v>2100</v>
      </c>
      <c r="C24" s="31" t="n">
        <f aca="false">SUM(C6:C8)</f>
        <v>2100</v>
      </c>
      <c r="D24" s="31" t="n">
        <f aca="false">SUM(D6:D8)</f>
        <v>3100</v>
      </c>
      <c r="E24" s="31" t="n">
        <f aca="false">SUM(E6:E8)</f>
        <v>3850</v>
      </c>
      <c r="F24" s="31" t="n">
        <f aca="false">SUM(F6:F8)</f>
        <v>4100</v>
      </c>
      <c r="G24" s="31" t="n">
        <f aca="false">SUM(G6:G8)</f>
        <v>4100</v>
      </c>
      <c r="H24" s="31" t="n">
        <f aca="false">SUM(B24:G24)</f>
        <v>19350</v>
      </c>
    </row>
    <row r="25" customFormat="false" ht="18" hidden="false" customHeight="true" outlineLevel="0" collapsed="false">
      <c r="A25" s="32" t="s">
        <v>65</v>
      </c>
      <c r="B25" s="33" t="n">
        <f aca="false">SUM(B10:B12)</f>
        <v>2000</v>
      </c>
      <c r="C25" s="33" t="n">
        <f aca="false">SUM(C10:C12)</f>
        <v>2500</v>
      </c>
      <c r="D25" s="33" t="n">
        <f aca="false">SUM(D10:D12)</f>
        <v>7500</v>
      </c>
      <c r="E25" s="33" t="n">
        <f aca="false">SUM(E10:E12)</f>
        <v>11000</v>
      </c>
      <c r="F25" s="33" t="n">
        <f aca="false">SUM(F10:F12)</f>
        <v>12000</v>
      </c>
      <c r="G25" s="33" t="n">
        <f aca="false">SUM(G10:G12)</f>
        <v>12000</v>
      </c>
      <c r="H25" s="33" t="n">
        <f aca="false">SUM(B25:G25)</f>
        <v>47000</v>
      </c>
    </row>
    <row r="26" customFormat="false" ht="18" hidden="false" customHeight="true" outlineLevel="0" collapsed="false">
      <c r="A26" s="34" t="s">
        <v>66</v>
      </c>
      <c r="B26" s="35" t="n">
        <f aca="false">SUM(B14:B16)</f>
        <v>1700</v>
      </c>
      <c r="C26" s="35" t="n">
        <f aca="false">SUM(C14:C16)</f>
        <v>1700</v>
      </c>
      <c r="D26" s="35" t="n">
        <f aca="false">SUM(D14:D16)</f>
        <v>2900</v>
      </c>
      <c r="E26" s="35" t="n">
        <f aca="false">SUM(E14:E16)</f>
        <v>2900</v>
      </c>
      <c r="F26" s="35" t="n">
        <f aca="false">SUM(F14:F16)</f>
        <v>3400</v>
      </c>
      <c r="G26" s="35" t="n">
        <f aca="false">SUM(G14:G16)</f>
        <v>3400</v>
      </c>
      <c r="H26" s="35" t="n">
        <f aca="false">SUM(B26:G26)</f>
        <v>16000</v>
      </c>
    </row>
    <row r="27" customFormat="false" ht="18" hidden="false" customHeight="true" outlineLevel="0" collapsed="false">
      <c r="A27" s="36" t="s">
        <v>67</v>
      </c>
      <c r="B27" s="37" t="n">
        <f aca="false">SUM(B18:B19)</f>
        <v>1000</v>
      </c>
      <c r="C27" s="37" t="n">
        <f aca="false">SUM(C18:C19)</f>
        <v>1500</v>
      </c>
      <c r="D27" s="37" t="n">
        <f aca="false">SUM(D18:D19)</f>
        <v>2000</v>
      </c>
      <c r="E27" s="37" t="n">
        <f aca="false">SUM(E18:E19)</f>
        <v>2000</v>
      </c>
      <c r="F27" s="37" t="n">
        <f aca="false">SUM(F18:F19)</f>
        <v>2000</v>
      </c>
      <c r="G27" s="37" t="n">
        <f aca="false">SUM(G18:G19)</f>
        <v>2000</v>
      </c>
      <c r="H27" s="37" t="n">
        <f aca="false">SUM(B27:G27)</f>
        <v>10500</v>
      </c>
    </row>
    <row r="28" customFormat="false" ht="18" hidden="false" customHeight="true" outlineLevel="0" collapsed="false">
      <c r="A28" s="38" t="s">
        <v>68</v>
      </c>
      <c r="B28" s="39" t="n">
        <f aca="false">SUM(B21)</f>
        <v>200</v>
      </c>
      <c r="C28" s="39" t="n">
        <f aca="false">SUM(C21)</f>
        <v>200</v>
      </c>
      <c r="D28" s="39" t="n">
        <f aca="false">SUM(D21)</f>
        <v>200</v>
      </c>
      <c r="E28" s="39" t="n">
        <f aca="false">SUM(E21)</f>
        <v>200</v>
      </c>
      <c r="F28" s="39" t="n">
        <f aca="false">SUM(F21)</f>
        <v>200</v>
      </c>
      <c r="G28" s="39" t="n">
        <f aca="false">SUM(G21)</f>
        <v>200</v>
      </c>
      <c r="H28" s="39" t="n">
        <f aca="false">SUM(B28:G28)</f>
        <v>1200</v>
      </c>
    </row>
    <row r="29" customFormat="false" ht="21.75" hidden="false" customHeight="true" outlineLevel="0" collapsed="false">
      <c r="A29" s="40" t="s">
        <v>69</v>
      </c>
      <c r="B29" s="41" t="n">
        <f aca="false">B24+B25+B26+B27+B28</f>
        <v>7000</v>
      </c>
      <c r="C29" s="41" t="n">
        <f aca="false">C24+C25+C26+C27+C28</f>
        <v>8000</v>
      </c>
      <c r="D29" s="41" t="n">
        <f aca="false">D24+D25+D26+D27+D28</f>
        <v>15700</v>
      </c>
      <c r="E29" s="41" t="n">
        <f aca="false">E24+E25+E26+E27+E28</f>
        <v>19950</v>
      </c>
      <c r="F29" s="41" t="n">
        <f aca="false">F24+F25+F26+F27+F28</f>
        <v>21700</v>
      </c>
      <c r="G29" s="41" t="n">
        <f aca="false">G24+G25+G26+G27+G28</f>
        <v>21700</v>
      </c>
      <c r="H29" s="41" t="n">
        <f aca="false">H24+H25+H26+H27+H28</f>
        <v>94050</v>
      </c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27"/>
    </row>
    <row r="31" customFormat="false" ht="16.5" hidden="false" customHeight="true" outlineLevel="0" collapsed="false">
      <c r="A31" s="42" t="s">
        <v>70</v>
      </c>
      <c r="B31" s="43" t="n">
        <f aca="false">B29*0.05</f>
        <v>350</v>
      </c>
      <c r="C31" s="43" t="n">
        <f aca="false">C29*0.05</f>
        <v>400</v>
      </c>
      <c r="D31" s="43" t="n">
        <f aca="false">D29*0.05</f>
        <v>785</v>
      </c>
      <c r="E31" s="43" t="n">
        <f aca="false">E29*0.05</f>
        <v>997.5</v>
      </c>
      <c r="F31" s="43" t="n">
        <f aca="false">F29*0.05</f>
        <v>1085</v>
      </c>
      <c r="G31" s="43" t="n">
        <f aca="false">G29*0.05</f>
        <v>1085</v>
      </c>
      <c r="H31" s="43" t="n">
        <f aca="false">H29*0.05</f>
        <v>4702.5</v>
      </c>
    </row>
    <row r="32" customFormat="false" ht="21.75" hidden="false" customHeight="true" outlineLevel="0" collapsed="false">
      <c r="A32" s="44" t="s">
        <v>71</v>
      </c>
      <c r="B32" s="45" t="n">
        <f aca="false">B29+B31</f>
        <v>7350</v>
      </c>
      <c r="C32" s="45" t="n">
        <f aca="false">C29+C31</f>
        <v>8400</v>
      </c>
      <c r="D32" s="45" t="n">
        <f aca="false">D29+D31</f>
        <v>16485</v>
      </c>
      <c r="E32" s="45" t="n">
        <f aca="false">E29+E31</f>
        <v>20947.5</v>
      </c>
      <c r="F32" s="45" t="n">
        <f aca="false">F29+F31</f>
        <v>22785</v>
      </c>
      <c r="G32" s="45" t="n">
        <f aca="false">G29+G31</f>
        <v>22785</v>
      </c>
      <c r="H32" s="45" t="n">
        <f aca="false">H29+H31</f>
        <v>98752.5</v>
      </c>
    </row>
  </sheetData>
  <mergeCells count="7">
    <mergeCell ref="A1:H1"/>
    <mergeCell ref="A2:H2"/>
    <mergeCell ref="A5:H5"/>
    <mergeCell ref="A9:H9"/>
    <mergeCell ref="A13:H13"/>
    <mergeCell ref="A17:H17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6"/>
  </cols>
  <sheetData>
    <row r="1" customFormat="false" ht="27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73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74</v>
      </c>
      <c r="B4" s="4" t="s">
        <v>75</v>
      </c>
      <c r="C4" s="4" t="s">
        <v>76</v>
      </c>
      <c r="D4" s="4" t="s">
        <v>77</v>
      </c>
      <c r="E4" s="4" t="s">
        <v>78</v>
      </c>
      <c r="F4" s="4" t="s">
        <v>79</v>
      </c>
      <c r="G4" s="4" t="s">
        <v>80</v>
      </c>
    </row>
    <row r="5" customFormat="false" ht="16.5" hidden="false" customHeight="true" outlineLevel="0" collapsed="false">
      <c r="A5" s="5" t="s">
        <v>7</v>
      </c>
      <c r="B5" s="5"/>
      <c r="C5" s="5"/>
      <c r="D5" s="5"/>
      <c r="E5" s="5"/>
      <c r="F5" s="5"/>
      <c r="G5" s="5"/>
    </row>
    <row r="6" customFormat="false" ht="16.5" hidden="false" customHeight="true" outlineLevel="0" collapsed="false">
      <c r="A6" s="12" t="s">
        <v>55</v>
      </c>
      <c r="B6" s="13" t="n">
        <v>900</v>
      </c>
      <c r="C6" s="14" t="n">
        <v>5400</v>
      </c>
      <c r="D6" s="13" t="n">
        <v>2500</v>
      </c>
      <c r="E6" s="14" t="n">
        <v>15000</v>
      </c>
      <c r="F6" s="13" t="n">
        <v>5000</v>
      </c>
      <c r="G6" s="14" t="n">
        <v>30000</v>
      </c>
    </row>
    <row r="7" customFormat="false" ht="16.5" hidden="false" customHeight="true" outlineLevel="0" collapsed="false">
      <c r="A7" s="12" t="s">
        <v>56</v>
      </c>
      <c r="B7" s="13" t="n">
        <v>0</v>
      </c>
      <c r="C7" s="14" t="n">
        <v>0</v>
      </c>
      <c r="D7" s="13" t="n">
        <v>540</v>
      </c>
      <c r="E7" s="14" t="n">
        <v>3240</v>
      </c>
      <c r="F7" s="13" t="n">
        <v>2000</v>
      </c>
      <c r="G7" s="14" t="n">
        <v>12000</v>
      </c>
    </row>
    <row r="8" customFormat="false" ht="16.5" hidden="false" customHeight="true" outlineLevel="0" collapsed="false">
      <c r="A8" s="12" t="s">
        <v>81</v>
      </c>
      <c r="B8" s="13" t="n">
        <v>50</v>
      </c>
      <c r="C8" s="14" t="n">
        <v>300</v>
      </c>
      <c r="D8" s="13" t="n">
        <v>100</v>
      </c>
      <c r="E8" s="14" t="n">
        <v>600</v>
      </c>
      <c r="F8" s="13" t="n">
        <v>200</v>
      </c>
      <c r="G8" s="14" t="n">
        <v>1200</v>
      </c>
    </row>
    <row r="9" customFormat="false" ht="16.5" hidden="false" customHeight="true" outlineLevel="0" collapsed="false">
      <c r="A9" s="5" t="s">
        <v>14</v>
      </c>
      <c r="B9" s="5"/>
      <c r="C9" s="5"/>
      <c r="D9" s="5"/>
      <c r="E9" s="5"/>
      <c r="F9" s="5"/>
      <c r="G9" s="5"/>
    </row>
    <row r="10" customFormat="false" ht="16.5" hidden="false" customHeight="true" outlineLevel="0" collapsed="false">
      <c r="A10" s="15" t="s">
        <v>82</v>
      </c>
      <c r="B10" s="16" t="n">
        <v>1250</v>
      </c>
      <c r="C10" s="17" t="n">
        <v>7500</v>
      </c>
      <c r="D10" s="16" t="n">
        <v>6250</v>
      </c>
      <c r="E10" s="17" t="n">
        <v>37500</v>
      </c>
      <c r="F10" s="16" t="n">
        <v>25000</v>
      </c>
      <c r="G10" s="17" t="n">
        <v>150000</v>
      </c>
    </row>
    <row r="11" customFormat="false" ht="16.5" hidden="false" customHeight="true" outlineLevel="0" collapsed="false">
      <c r="A11" s="15" t="s">
        <v>83</v>
      </c>
      <c r="B11" s="16" t="n">
        <v>83</v>
      </c>
      <c r="C11" s="17" t="n">
        <v>498</v>
      </c>
      <c r="D11" s="16" t="n">
        <v>83</v>
      </c>
      <c r="E11" s="17" t="n">
        <v>498</v>
      </c>
      <c r="F11" s="16" t="n">
        <v>167</v>
      </c>
      <c r="G11" s="17" t="n">
        <v>1002</v>
      </c>
    </row>
    <row r="12" customFormat="false" ht="16.5" hidden="false" customHeight="true" outlineLevel="0" collapsed="false">
      <c r="A12" s="5" t="s">
        <v>24</v>
      </c>
      <c r="B12" s="5"/>
      <c r="C12" s="5"/>
      <c r="D12" s="5"/>
      <c r="E12" s="5"/>
      <c r="F12" s="5"/>
      <c r="G12" s="5"/>
    </row>
    <row r="13" customFormat="false" ht="16.5" hidden="false" customHeight="true" outlineLevel="0" collapsed="false">
      <c r="A13" s="18" t="s">
        <v>84</v>
      </c>
      <c r="B13" s="19" t="n">
        <v>200</v>
      </c>
      <c r="C13" s="20" t="n">
        <v>1200</v>
      </c>
      <c r="D13" s="19" t="n">
        <v>300</v>
      </c>
      <c r="E13" s="20" t="n">
        <v>1800</v>
      </c>
      <c r="F13" s="19" t="n">
        <v>500</v>
      </c>
      <c r="G13" s="20" t="n">
        <v>3000</v>
      </c>
    </row>
    <row r="14" customFormat="false" ht="16.5" hidden="false" customHeight="true" outlineLevel="0" collapsed="false">
      <c r="A14" s="18" t="s">
        <v>60</v>
      </c>
      <c r="B14" s="19" t="n">
        <v>300</v>
      </c>
      <c r="C14" s="20" t="n">
        <v>1800</v>
      </c>
      <c r="D14" s="19" t="n">
        <v>1300</v>
      </c>
      <c r="E14" s="20" t="n">
        <v>7800</v>
      </c>
      <c r="F14" s="19" t="n">
        <v>5000</v>
      </c>
      <c r="G14" s="20" t="n">
        <v>30000</v>
      </c>
    </row>
    <row r="15" customFormat="false" ht="16.5" hidden="false" customHeight="true" outlineLevel="0" collapsed="false">
      <c r="A15" s="18" t="s">
        <v>61</v>
      </c>
      <c r="B15" s="19" t="n">
        <v>200</v>
      </c>
      <c r="C15" s="20" t="n">
        <v>1200</v>
      </c>
      <c r="D15" s="19" t="n">
        <v>650</v>
      </c>
      <c r="E15" s="20" t="n">
        <v>3900</v>
      </c>
      <c r="F15" s="19" t="n">
        <v>2500</v>
      </c>
      <c r="G15" s="20" t="n">
        <v>15000</v>
      </c>
    </row>
    <row r="16" customFormat="false" ht="16.5" hidden="false" customHeight="true" outlineLevel="0" collapsed="false">
      <c r="A16" s="5" t="s">
        <v>33</v>
      </c>
      <c r="B16" s="5"/>
      <c r="C16" s="5"/>
      <c r="D16" s="5"/>
      <c r="E16" s="5"/>
      <c r="F16" s="5"/>
      <c r="G16" s="5"/>
    </row>
    <row r="17" customFormat="false" ht="16.5" hidden="false" customHeight="true" outlineLevel="0" collapsed="false">
      <c r="A17" s="21" t="s">
        <v>34</v>
      </c>
      <c r="B17" s="22" t="n">
        <v>300</v>
      </c>
      <c r="C17" s="23" t="n">
        <v>1800</v>
      </c>
      <c r="D17" s="22" t="n">
        <v>1500</v>
      </c>
      <c r="E17" s="23" t="n">
        <v>9000</v>
      </c>
      <c r="F17" s="22" t="n">
        <v>4000</v>
      </c>
      <c r="G17" s="23" t="n">
        <v>24000</v>
      </c>
    </row>
    <row r="18" customFormat="false" ht="16.5" hidden="false" customHeight="true" outlineLevel="0" collapsed="false">
      <c r="A18" s="21" t="s">
        <v>62</v>
      </c>
      <c r="B18" s="22" t="n">
        <v>0</v>
      </c>
      <c r="C18" s="23" t="n">
        <v>0</v>
      </c>
      <c r="D18" s="22" t="n">
        <v>330</v>
      </c>
      <c r="E18" s="23" t="n">
        <v>1980</v>
      </c>
      <c r="F18" s="22" t="n">
        <v>2000</v>
      </c>
      <c r="G18" s="23" t="n">
        <v>12000</v>
      </c>
    </row>
    <row r="19" customFormat="false" ht="16.5" hidden="false" customHeight="true" outlineLevel="0" collapsed="false">
      <c r="A19" s="5" t="s">
        <v>40</v>
      </c>
      <c r="B19" s="5"/>
      <c r="C19" s="5"/>
      <c r="D19" s="5"/>
      <c r="E19" s="5"/>
      <c r="F19" s="5"/>
      <c r="G19" s="5"/>
    </row>
    <row r="20" customFormat="false" ht="16.5" hidden="false" customHeight="true" outlineLevel="0" collapsed="false">
      <c r="A20" s="24" t="s">
        <v>41</v>
      </c>
      <c r="B20" s="25" t="n">
        <v>100</v>
      </c>
      <c r="C20" s="26" t="n">
        <v>600</v>
      </c>
      <c r="D20" s="25" t="n">
        <v>200</v>
      </c>
      <c r="E20" s="26" t="n">
        <v>1200</v>
      </c>
      <c r="F20" s="25" t="n">
        <v>300</v>
      </c>
      <c r="G20" s="26" t="n">
        <v>1800</v>
      </c>
    </row>
    <row r="21" customFormat="false" ht="21.75" hidden="false" customHeight="true" outlineLevel="0" collapsed="false">
      <c r="A21" s="40" t="s">
        <v>85</v>
      </c>
      <c r="B21" s="41" t="n">
        <v>3383</v>
      </c>
      <c r="C21" s="41" t="n">
        <v>20298</v>
      </c>
      <c r="D21" s="41" t="n">
        <v>13753</v>
      </c>
      <c r="E21" s="41" t="n">
        <v>82518</v>
      </c>
      <c r="F21" s="41" t="n">
        <v>46667</v>
      </c>
      <c r="G21" s="41" t="n">
        <v>280002</v>
      </c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</row>
    <row r="23" customFormat="false" ht="16.5" hidden="false" customHeight="true" outlineLevel="0" collapsed="false">
      <c r="A23" s="42" t="s">
        <v>86</v>
      </c>
      <c r="B23" s="43" t="n">
        <v>169</v>
      </c>
      <c r="C23" s="43" t="n">
        <v>1015</v>
      </c>
      <c r="D23" s="43" t="n">
        <v>688</v>
      </c>
      <c r="E23" s="43" t="n">
        <v>4126</v>
      </c>
      <c r="F23" s="43" t="n">
        <v>2333</v>
      </c>
      <c r="G23" s="43" t="n">
        <v>14000</v>
      </c>
    </row>
    <row r="24" customFormat="false" ht="24" hidden="false" customHeight="true" outlineLevel="0" collapsed="false">
      <c r="A24" s="46" t="s">
        <v>71</v>
      </c>
      <c r="B24" s="47" t="n">
        <v>3552</v>
      </c>
      <c r="C24" s="47" t="n">
        <v>21313</v>
      </c>
      <c r="D24" s="47" t="n">
        <v>14441</v>
      </c>
      <c r="E24" s="47" t="n">
        <v>86644</v>
      </c>
      <c r="F24" s="47" t="n">
        <v>49000</v>
      </c>
      <c r="G24" s="47" t="n">
        <v>294002</v>
      </c>
    </row>
    <row r="26" customFormat="false" ht="18" hidden="false" customHeight="true" outlineLevel="0" collapsed="false">
      <c r="A26" s="48" t="s">
        <v>87</v>
      </c>
      <c r="B26" s="48"/>
      <c r="C26" s="48"/>
      <c r="D26" s="48"/>
      <c r="E26" s="48"/>
      <c r="F26" s="48"/>
      <c r="G26" s="48"/>
    </row>
    <row r="27" customFormat="false" ht="30" hidden="false" customHeight="true" outlineLevel="0" collapsed="false">
      <c r="A27" s="49" t="s">
        <v>88</v>
      </c>
      <c r="B27" s="49"/>
      <c r="C27" s="49"/>
      <c r="D27" s="49"/>
      <c r="E27" s="49"/>
      <c r="F27" s="49"/>
      <c r="G27" s="49"/>
    </row>
    <row r="28" customFormat="false" ht="30" hidden="false" customHeight="true" outlineLevel="0" collapsed="false">
      <c r="A28" s="50" t="s">
        <v>89</v>
      </c>
      <c r="B28" s="50"/>
      <c r="C28" s="50"/>
      <c r="D28" s="50"/>
      <c r="E28" s="50"/>
      <c r="F28" s="50"/>
      <c r="G28" s="50"/>
    </row>
    <row r="29" customFormat="false" ht="30" hidden="false" customHeight="true" outlineLevel="0" collapsed="false">
      <c r="A29" s="49" t="s">
        <v>90</v>
      </c>
      <c r="B29" s="49"/>
      <c r="C29" s="49"/>
      <c r="D29" s="49"/>
      <c r="E29" s="49"/>
      <c r="F29" s="49"/>
      <c r="G29" s="49"/>
    </row>
  </sheetData>
  <mergeCells count="11">
    <mergeCell ref="A1:G1"/>
    <mergeCell ref="A2:G2"/>
    <mergeCell ref="A5:G5"/>
    <mergeCell ref="A9:G9"/>
    <mergeCell ref="A12:G12"/>
    <mergeCell ref="A16:G16"/>
    <mergeCell ref="A19:G19"/>
    <mergeCell ref="A26:G26"/>
    <mergeCell ref="A27:G27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2026-05-19T06:27:15Z</dcterms:created>
  <dc:creator>openpyxl</dc:creator>
  <dc:description/>
  <dc:language>en-US</dc:language>
  <cp:lastModifiedBy/>
  <dcterms:modified xsi:type="dcterms:W3CDTF">2026-05-19T06:27:15Z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